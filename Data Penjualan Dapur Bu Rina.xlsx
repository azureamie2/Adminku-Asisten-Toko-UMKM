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ksi" sheetId="1" r:id="rId5"/>
    <sheet state="visible" name="Ringkasan" sheetId="2" r:id="rId6"/>
  </sheets>
  <definedNames/>
  <calcPr/>
</workbook>
</file>

<file path=xl/sharedStrings.xml><?xml version="1.0" encoding="utf-8"?>
<sst xmlns="http://schemas.openxmlformats.org/spreadsheetml/2006/main" count="42" uniqueCount="20">
  <si>
    <t>tanggal</t>
  </si>
  <si>
    <t>Total penjualan</t>
  </si>
  <si>
    <t>nama_produk</t>
  </si>
  <si>
    <t>jumlah</t>
  </si>
  <si>
    <t>harga_satuan</t>
  </si>
  <si>
    <t>total</t>
  </si>
  <si>
    <t>minggu</t>
  </si>
  <si>
    <t>Nastar Keju</t>
  </si>
  <si>
    <t>Top 5 jumlah terjual</t>
  </si>
  <si>
    <t>Top 5 omzet</t>
  </si>
  <si>
    <t>Omzet per minggu</t>
  </si>
  <si>
    <t>Keripik Pisang Coklat</t>
  </si>
  <si>
    <t>Keripik Singkong Balado</t>
  </si>
  <si>
    <t>Basreng Pedas</t>
  </si>
  <si>
    <t>Granola Madu</t>
  </si>
  <si>
    <t>Kastengel</t>
  </si>
  <si>
    <t>Putri Salju</t>
  </si>
  <si>
    <t>Sambal Roa</t>
  </si>
  <si>
    <t>Paket Hampers Lebaran</t>
  </si>
  <si>
    <t>Brownies Kering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</si>
</sst>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>
        <v>46265.0</v>
      </c>
      <c r="B2" s="1" t="s">
        <v>7</v>
      </c>
      <c r="C2" s="1">
        <v>4.0</v>
      </c>
      <c r="D2" s="1">
        <v>85000.0</v>
      </c>
      <c r="E2" s="1">
        <v>340000.0</v>
      </c>
      <c r="F2" s="3">
        <f t="array" ref="F2:F1000">IF(A2:A1000="",,WEEKNUM(A2:A1000,2))</f>
        <v>36</v>
      </c>
    </row>
    <row r="3">
      <c r="A3" s="2">
        <v>46265.0</v>
      </c>
      <c r="B3" s="1" t="s">
        <v>11</v>
      </c>
      <c r="C3" s="1">
        <v>6.0</v>
      </c>
      <c r="D3" s="1">
        <v>35000.0</v>
      </c>
      <c r="E3" s="1">
        <v>210000.0</v>
      </c>
      <c r="F3" s="3">
        <v>36.0</v>
      </c>
    </row>
    <row r="4">
      <c r="A4" s="2">
        <v>46266.0</v>
      </c>
      <c r="B4" s="1" t="s">
        <v>12</v>
      </c>
      <c r="C4" s="1">
        <v>8.0</v>
      </c>
      <c r="D4" s="1">
        <v>28000.0</v>
      </c>
      <c r="E4" s="1">
        <v>224000.0</v>
      </c>
      <c r="F4" s="3">
        <v>36.0</v>
      </c>
    </row>
    <row r="5">
      <c r="A5" s="2">
        <v>46267.0</v>
      </c>
      <c r="B5" s="1" t="s">
        <v>13</v>
      </c>
      <c r="C5" s="1">
        <v>10.0</v>
      </c>
      <c r="D5" s="1">
        <v>30000.0</v>
      </c>
      <c r="E5" s="1">
        <v>300000.0</v>
      </c>
      <c r="F5" s="3">
        <v>36.0</v>
      </c>
    </row>
    <row r="6">
      <c r="A6" s="2">
        <v>46267.0</v>
      </c>
      <c r="B6" s="1" t="s">
        <v>7</v>
      </c>
      <c r="C6" s="1">
        <v>3.0</v>
      </c>
      <c r="D6" s="1">
        <v>85000.0</v>
      </c>
      <c r="E6" s="1">
        <v>255000.0</v>
      </c>
      <c r="F6" s="3">
        <v>36.0</v>
      </c>
    </row>
    <row r="7">
      <c r="A7" s="2">
        <v>46268.0</v>
      </c>
      <c r="B7" s="1" t="s">
        <v>14</v>
      </c>
      <c r="C7" s="1">
        <v>5.0</v>
      </c>
      <c r="D7" s="1">
        <v>55000.0</v>
      </c>
      <c r="E7" s="1">
        <v>275000.0</v>
      </c>
      <c r="F7" s="3">
        <v>36.0</v>
      </c>
    </row>
    <row r="8">
      <c r="A8" s="2">
        <v>46269.0</v>
      </c>
      <c r="B8" s="1" t="s">
        <v>11</v>
      </c>
      <c r="C8" s="1">
        <v>7.0</v>
      </c>
      <c r="D8" s="1">
        <v>35000.0</v>
      </c>
      <c r="E8" s="1">
        <v>245000.0</v>
      </c>
      <c r="F8" s="3">
        <v>36.0</v>
      </c>
    </row>
    <row r="9">
      <c r="A9" s="2">
        <v>46270.0</v>
      </c>
      <c r="B9" s="1" t="s">
        <v>15</v>
      </c>
      <c r="C9" s="1">
        <v>2.0</v>
      </c>
      <c r="D9" s="1">
        <v>90000.0</v>
      </c>
      <c r="E9" s="1">
        <v>180000.0</v>
      </c>
      <c r="F9" s="3">
        <v>36.0</v>
      </c>
    </row>
    <row r="10">
      <c r="A10" s="2">
        <v>46272.0</v>
      </c>
      <c r="B10" s="1" t="s">
        <v>7</v>
      </c>
      <c r="C10" s="1">
        <v>5.0</v>
      </c>
      <c r="D10" s="1">
        <v>85000.0</v>
      </c>
      <c r="E10" s="1">
        <v>425000.0</v>
      </c>
      <c r="F10" s="3">
        <v>37.0</v>
      </c>
    </row>
    <row r="11">
      <c r="A11" s="2">
        <v>46272.0</v>
      </c>
      <c r="B11" s="1" t="s">
        <v>12</v>
      </c>
      <c r="C11" s="1">
        <v>9.0</v>
      </c>
      <c r="D11" s="1">
        <v>28000.0</v>
      </c>
      <c r="E11" s="1">
        <v>252000.0</v>
      </c>
      <c r="F11" s="3">
        <v>37.0</v>
      </c>
    </row>
    <row r="12">
      <c r="A12" s="2">
        <v>46273.0</v>
      </c>
      <c r="B12" s="1" t="s">
        <v>13</v>
      </c>
      <c r="C12" s="1">
        <v>12.0</v>
      </c>
      <c r="D12" s="1">
        <v>30000.0</v>
      </c>
      <c r="E12" s="1">
        <v>360000.0</v>
      </c>
      <c r="F12" s="3">
        <v>37.0</v>
      </c>
    </row>
    <row r="13">
      <c r="A13" s="2">
        <v>46274.0</v>
      </c>
      <c r="B13" s="1" t="s">
        <v>11</v>
      </c>
      <c r="C13" s="1">
        <v>6.0</v>
      </c>
      <c r="D13" s="1">
        <v>35000.0</v>
      </c>
      <c r="E13" s="1">
        <v>210000.0</v>
      </c>
      <c r="F13" s="3">
        <v>37.0</v>
      </c>
    </row>
    <row r="14">
      <c r="A14" s="2">
        <v>46275.0</v>
      </c>
      <c r="B14" s="1" t="s">
        <v>16</v>
      </c>
      <c r="C14" s="1">
        <v>3.0</v>
      </c>
      <c r="D14" s="1">
        <v>70000.0</v>
      </c>
      <c r="E14" s="1">
        <v>210000.0</v>
      </c>
      <c r="F14" s="3">
        <v>37.0</v>
      </c>
    </row>
    <row r="15">
      <c r="A15" s="2">
        <v>46276.0</v>
      </c>
      <c r="B15" s="1" t="s">
        <v>7</v>
      </c>
      <c r="C15" s="1">
        <v>4.0</v>
      </c>
      <c r="D15" s="1">
        <v>85000.0</v>
      </c>
      <c r="E15" s="1">
        <v>340000.0</v>
      </c>
      <c r="F15" s="3">
        <v>37.0</v>
      </c>
    </row>
    <row r="16">
      <c r="A16" s="2">
        <v>46277.0</v>
      </c>
      <c r="B16" s="1" t="s">
        <v>13</v>
      </c>
      <c r="C16" s="1">
        <v>11.0</v>
      </c>
      <c r="D16" s="1">
        <v>30000.0</v>
      </c>
      <c r="E16" s="1">
        <v>330000.0</v>
      </c>
      <c r="F16" s="3">
        <v>37.0</v>
      </c>
    </row>
    <row r="17">
      <c r="A17" s="2">
        <v>46278.0</v>
      </c>
      <c r="B17" s="1" t="s">
        <v>17</v>
      </c>
      <c r="C17" s="1">
        <v>4.0</v>
      </c>
      <c r="D17" s="1">
        <v>45000.0</v>
      </c>
      <c r="E17" s="1">
        <v>180000.0</v>
      </c>
      <c r="F17" s="3">
        <v>37.0</v>
      </c>
    </row>
    <row r="18">
      <c r="A18" s="2">
        <v>46279.0</v>
      </c>
      <c r="B18" s="1" t="s">
        <v>7</v>
      </c>
      <c r="C18" s="1">
        <v>6.0</v>
      </c>
      <c r="D18" s="1">
        <v>85000.0</v>
      </c>
      <c r="E18" s="1">
        <v>510000.0</v>
      </c>
      <c r="F18" s="3">
        <v>38.0</v>
      </c>
    </row>
    <row r="19">
      <c r="A19" s="2">
        <v>46280.0</v>
      </c>
      <c r="B19" s="1" t="s">
        <v>12</v>
      </c>
      <c r="C19" s="1">
        <v>10.0</v>
      </c>
      <c r="D19" s="1">
        <v>28000.0</v>
      </c>
      <c r="E19" s="1">
        <v>280000.0</v>
      </c>
      <c r="F19" s="3">
        <v>38.0</v>
      </c>
    </row>
    <row r="20">
      <c r="A20" s="2">
        <v>46280.0</v>
      </c>
      <c r="B20" s="1" t="s">
        <v>13</v>
      </c>
      <c r="C20" s="1">
        <v>9.0</v>
      </c>
      <c r="D20" s="1">
        <v>30000.0</v>
      </c>
      <c r="E20" s="1">
        <v>270000.0</v>
      </c>
      <c r="F20" s="3">
        <v>38.0</v>
      </c>
    </row>
    <row r="21">
      <c r="A21" s="2">
        <v>46281.0</v>
      </c>
      <c r="B21" s="1" t="s">
        <v>14</v>
      </c>
      <c r="C21" s="1">
        <v>6.0</v>
      </c>
      <c r="D21" s="1">
        <v>55000.0</v>
      </c>
      <c r="E21" s="1">
        <v>330000.0</v>
      </c>
      <c r="F21" s="3">
        <v>38.0</v>
      </c>
    </row>
    <row r="22">
      <c r="A22" s="2">
        <v>46282.0</v>
      </c>
      <c r="B22" s="1" t="s">
        <v>11</v>
      </c>
      <c r="C22" s="1">
        <v>8.0</v>
      </c>
      <c r="D22" s="1">
        <v>35000.0</v>
      </c>
      <c r="E22" s="1">
        <v>280000.0</v>
      </c>
      <c r="F22" s="3">
        <v>38.0</v>
      </c>
    </row>
    <row r="23">
      <c r="A23" s="2">
        <v>46283.0</v>
      </c>
      <c r="B23" s="1" t="s">
        <v>18</v>
      </c>
      <c r="C23" s="1">
        <v>2.0</v>
      </c>
      <c r="D23" s="1">
        <v>225000.0</v>
      </c>
      <c r="E23" s="1">
        <v>450000.0</v>
      </c>
      <c r="F23" s="3">
        <v>38.0</v>
      </c>
    </row>
    <row r="24">
      <c r="A24" s="2">
        <v>46284.0</v>
      </c>
      <c r="B24" s="1" t="s">
        <v>13</v>
      </c>
      <c r="C24" s="1">
        <v>13.0</v>
      </c>
      <c r="D24" s="1">
        <v>30000.0</v>
      </c>
      <c r="E24" s="1">
        <v>390000.0</v>
      </c>
      <c r="F24" s="3">
        <v>38.0</v>
      </c>
    </row>
    <row r="25">
      <c r="A25" s="2">
        <v>46285.0</v>
      </c>
      <c r="B25" s="1" t="s">
        <v>19</v>
      </c>
      <c r="C25" s="1">
        <v>5.0</v>
      </c>
      <c r="D25" s="1">
        <v>40000.0</v>
      </c>
      <c r="E25" s="1">
        <v>200000.0</v>
      </c>
      <c r="F25" s="3">
        <v>38.0</v>
      </c>
    </row>
    <row r="26">
      <c r="A26" s="2">
        <v>46286.0</v>
      </c>
      <c r="B26" s="1" t="s">
        <v>7</v>
      </c>
      <c r="C26" s="1">
        <v>8.0</v>
      </c>
      <c r="D26" s="1">
        <v>85000.0</v>
      </c>
      <c r="E26" s="1">
        <v>680000.0</v>
      </c>
      <c r="F26" s="3">
        <v>39.0</v>
      </c>
    </row>
    <row r="27">
      <c r="A27" s="2">
        <v>46287.0</v>
      </c>
      <c r="B27" s="1" t="s">
        <v>13</v>
      </c>
      <c r="C27" s="1">
        <v>14.0</v>
      </c>
      <c r="D27" s="1">
        <v>30000.0</v>
      </c>
      <c r="E27" s="1">
        <v>420000.0</v>
      </c>
      <c r="F27" s="3">
        <v>39.0</v>
      </c>
    </row>
    <row r="28">
      <c r="A28" s="2">
        <v>46288.0</v>
      </c>
      <c r="B28" s="1" t="s">
        <v>12</v>
      </c>
      <c r="C28" s="1">
        <v>11.0</v>
      </c>
      <c r="D28" s="1">
        <v>28000.0</v>
      </c>
      <c r="E28" s="1">
        <v>308000.0</v>
      </c>
      <c r="F28" s="3">
        <v>39.0</v>
      </c>
    </row>
    <row r="29">
      <c r="A29" s="2">
        <v>46289.0</v>
      </c>
      <c r="B29" s="1" t="s">
        <v>11</v>
      </c>
      <c r="C29" s="1">
        <v>9.0</v>
      </c>
      <c r="D29" s="1">
        <v>35000.0</v>
      </c>
      <c r="E29" s="1">
        <v>315000.0</v>
      </c>
      <c r="F29" s="3">
        <v>39.0</v>
      </c>
    </row>
    <row r="30">
      <c r="A30" s="2">
        <v>46290.0</v>
      </c>
      <c r="B30" s="1" t="s">
        <v>18</v>
      </c>
      <c r="C30" s="1">
        <v>3.0</v>
      </c>
      <c r="D30" s="1">
        <v>225000.0</v>
      </c>
      <c r="E30" s="1">
        <v>675000.0</v>
      </c>
      <c r="F30" s="3">
        <v>39.0</v>
      </c>
    </row>
    <row r="31">
      <c r="A31" s="2">
        <v>46291.0</v>
      </c>
      <c r="B31" s="1" t="s">
        <v>15</v>
      </c>
      <c r="C31" s="1">
        <v>4.0</v>
      </c>
      <c r="D31" s="1">
        <v>90000.0</v>
      </c>
      <c r="E31" s="1">
        <v>360000.0</v>
      </c>
      <c r="F31" s="3">
        <v>39.0</v>
      </c>
    </row>
    <row r="32">
      <c r="A32" s="2">
        <v>46292.0</v>
      </c>
      <c r="B32" s="1" t="s">
        <v>13</v>
      </c>
      <c r="C32" s="1">
        <v>15.0</v>
      </c>
      <c r="D32" s="1">
        <v>30000.0</v>
      </c>
      <c r="E32" s="1">
        <v>450000.0</v>
      </c>
      <c r="F32" s="3">
        <v>39.0</v>
      </c>
    </row>
    <row r="33">
      <c r="A33" s="2">
        <v>46292.0</v>
      </c>
      <c r="B33" s="1" t="s">
        <v>7</v>
      </c>
      <c r="C33" s="1">
        <v>7.0</v>
      </c>
      <c r="D33" s="1">
        <v>85000.0</v>
      </c>
      <c r="E33" s="1">
        <v>595000.0</v>
      </c>
      <c r="F33" s="3">
        <v>39.0</v>
      </c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</cols>
  <sheetData>
    <row r="1">
      <c r="A1" s="1" t="s">
        <v>1</v>
      </c>
      <c r="B1" s="1">
        <f>SUM(Transaksi!E2:E1000)</f>
        <v>10849000</v>
      </c>
    </row>
    <row r="3">
      <c r="A3" s="1" t="s">
        <v>8</v>
      </c>
    </row>
    <row r="4">
      <c r="A4" s="3" t="str">
        <f>IFERROR(__xludf.DUMMYFUNCTION("QUERY(Transaksi!A:E,""select B, sum(C) where B is not null group by B order by sum(C) desc limit 5 label B 'Produk', sum(C) 'Unit'"",1)"),"Produk")</f>
        <v>Produk</v>
      </c>
      <c r="B4" s="3" t="str">
        <f>IFERROR(__xludf.DUMMYFUNCTION("""COMPUTED_VALUE"""),"Unit")</f>
        <v>Unit</v>
      </c>
    </row>
    <row r="5">
      <c r="A5" s="3" t="str">
        <f>IFERROR(__xludf.DUMMYFUNCTION("""COMPUTED_VALUE"""),"Basreng Pedas")</f>
        <v>Basreng Pedas</v>
      </c>
      <c r="B5" s="3">
        <f>IFERROR(__xludf.DUMMYFUNCTION("""COMPUTED_VALUE"""),84.0)</f>
        <v>84</v>
      </c>
    </row>
    <row r="6">
      <c r="A6" s="3" t="str">
        <f>IFERROR(__xludf.DUMMYFUNCTION("""COMPUTED_VALUE"""),"Keripik Singkong Balado")</f>
        <v>Keripik Singkong Balado</v>
      </c>
      <c r="B6" s="3">
        <f>IFERROR(__xludf.DUMMYFUNCTION("""COMPUTED_VALUE"""),38.0)</f>
        <v>38</v>
      </c>
    </row>
    <row r="7">
      <c r="A7" s="3" t="str">
        <f>IFERROR(__xludf.DUMMYFUNCTION("""COMPUTED_VALUE"""),"Nastar Keju")</f>
        <v>Nastar Keju</v>
      </c>
      <c r="B7" s="3">
        <f>IFERROR(__xludf.DUMMYFUNCTION("""COMPUTED_VALUE"""),37.0)</f>
        <v>37</v>
      </c>
    </row>
    <row r="8">
      <c r="A8" s="3" t="str">
        <f>IFERROR(__xludf.DUMMYFUNCTION("""COMPUTED_VALUE"""),"Keripik Pisang Coklat")</f>
        <v>Keripik Pisang Coklat</v>
      </c>
      <c r="B8" s="3">
        <f>IFERROR(__xludf.DUMMYFUNCTION("""COMPUTED_VALUE"""),36.0)</f>
        <v>36</v>
      </c>
    </row>
    <row r="9">
      <c r="A9" s="3" t="str">
        <f>IFERROR(__xludf.DUMMYFUNCTION("""COMPUTED_VALUE"""),"Granola Madu")</f>
        <v>Granola Madu</v>
      </c>
      <c r="B9" s="3">
        <f>IFERROR(__xludf.DUMMYFUNCTION("""COMPUTED_VALUE"""),11.0)</f>
        <v>11</v>
      </c>
    </row>
    <row r="11">
      <c r="A11" s="1" t="s">
        <v>9</v>
      </c>
    </row>
    <row r="12">
      <c r="A12" s="3" t="str">
        <f>IFERROR(__xludf.DUMMYFUNCTION("QUERY(Transaksi!A:F,""select B, sum(E) where B is not null group by B order by sum(E) desc limit 5 label B 'Produk', sum(E) 'Omzet'"",1)"),"Produk")</f>
        <v>Produk</v>
      </c>
      <c r="B12" s="3" t="str">
        <f>IFERROR(__xludf.DUMMYFUNCTION("""COMPUTED_VALUE"""),"Omzet")</f>
        <v>Omzet</v>
      </c>
    </row>
    <row r="13">
      <c r="A13" s="3" t="str">
        <f>IFERROR(__xludf.DUMMYFUNCTION("""COMPUTED_VALUE"""),"Nastar Keju")</f>
        <v>Nastar Keju</v>
      </c>
      <c r="B13" s="3">
        <f>IFERROR(__xludf.DUMMYFUNCTION("""COMPUTED_VALUE"""),3145000.0)</f>
        <v>3145000</v>
      </c>
    </row>
    <row r="14">
      <c r="A14" s="3" t="str">
        <f>IFERROR(__xludf.DUMMYFUNCTION("""COMPUTED_VALUE"""),"Basreng Pedas")</f>
        <v>Basreng Pedas</v>
      </c>
      <c r="B14" s="3">
        <f>IFERROR(__xludf.DUMMYFUNCTION("""COMPUTED_VALUE"""),2520000.0)</f>
        <v>2520000</v>
      </c>
    </row>
    <row r="15">
      <c r="A15" s="3" t="str">
        <f>IFERROR(__xludf.DUMMYFUNCTION("""COMPUTED_VALUE"""),"Keripik Pisang Coklat")</f>
        <v>Keripik Pisang Coklat</v>
      </c>
      <c r="B15" s="3">
        <f>IFERROR(__xludf.DUMMYFUNCTION("""COMPUTED_VALUE"""),1260000.0)</f>
        <v>1260000</v>
      </c>
    </row>
    <row r="16">
      <c r="A16" s="3" t="str">
        <f>IFERROR(__xludf.DUMMYFUNCTION("""COMPUTED_VALUE"""),"Paket Hampers Lebaran")</f>
        <v>Paket Hampers Lebaran</v>
      </c>
      <c r="B16" s="3">
        <f>IFERROR(__xludf.DUMMYFUNCTION("""COMPUTED_VALUE"""),1125000.0)</f>
        <v>1125000</v>
      </c>
    </row>
    <row r="17">
      <c r="A17" s="3" t="str">
        <f>IFERROR(__xludf.DUMMYFUNCTION("""COMPUTED_VALUE"""),"Keripik Singkong Balado")</f>
        <v>Keripik Singkong Balado</v>
      </c>
      <c r="B17" s="3">
        <f>IFERROR(__xludf.DUMMYFUNCTION("""COMPUTED_VALUE"""),1064000.0)</f>
        <v>1064000</v>
      </c>
    </row>
    <row r="19">
      <c r="A19" s="1" t="s">
        <v>10</v>
      </c>
    </row>
    <row r="20">
      <c r="A20" s="3" t="str">
        <f>IFERROR(__xludf.DUMMYFUNCTION("QUERY(Transaksi!A:F,""select F, sum(E) where F is not null group by F order by F label F 'Minggu ke', sum(E) 'Omzet'"",1)"),"Minggu ke")</f>
        <v>Minggu ke</v>
      </c>
      <c r="B20" s="3" t="str">
        <f>IFERROR(__xludf.DUMMYFUNCTION("""COMPUTED_VALUE"""),"Omzet")</f>
        <v>Omzet</v>
      </c>
    </row>
    <row r="21">
      <c r="A21" s="3">
        <f>IFERROR(__xludf.DUMMYFUNCTION("""COMPUTED_VALUE"""),36.0)</f>
        <v>36</v>
      </c>
      <c r="B21" s="3">
        <f>IFERROR(__xludf.DUMMYFUNCTION("""COMPUTED_VALUE"""),2029000.0)</f>
        <v>2029000</v>
      </c>
    </row>
    <row r="22">
      <c r="A22" s="3">
        <f>IFERROR(__xludf.DUMMYFUNCTION("""COMPUTED_VALUE"""),37.0)</f>
        <v>37</v>
      </c>
      <c r="B22" s="3">
        <f>IFERROR(__xludf.DUMMYFUNCTION("""COMPUTED_VALUE"""),2307000.0)</f>
        <v>2307000</v>
      </c>
    </row>
    <row r="23">
      <c r="A23" s="3">
        <f>IFERROR(__xludf.DUMMYFUNCTION("""COMPUTED_VALUE"""),38.0)</f>
        <v>38</v>
      </c>
      <c r="B23" s="3">
        <f>IFERROR(__xludf.DUMMYFUNCTION("""COMPUTED_VALUE"""),2710000.0)</f>
        <v>2710000</v>
      </c>
    </row>
    <row r="24">
      <c r="A24" s="3">
        <f>IFERROR(__xludf.DUMMYFUNCTION("""COMPUTED_VALUE"""),39.0)</f>
        <v>39</v>
      </c>
      <c r="B24" s="3">
        <f>IFERROR(__xludf.DUMMYFUNCTION("""COMPUTED_VALUE"""),3803000.0)</f>
        <v>3803000</v>
      </c>
    </row>
  </sheetData>
  <drawing r:id="rId1"/>
</worksheet>
</file>